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" sheetId="1" state="visible" r:id="rId3"/>
    <sheet name="Положительные исходы" sheetId="2" state="visible" r:id="rId4"/>
    <sheet name="Отрицательные исходы" sheetId="3" state="visible" r:id="rId5"/>
    <sheet name="Нейтральные исход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Введите желаемое количество клиентов, на которое масштабируется эффект. Значение по умолчанию — 10 000 (согласно ТЗ).</t>
        </r>
      </text>
    </comment>
    <comment ref="D6" authorId="0">
      <text>
        <r>
          <rPr>
            <sz val="10"/>
            <rFont val="Arial"/>
            <family val="2"/>
          </rPr>
          <t xml:space="preserve">Минимальная разница в среднем чеке, которую хотим научиться обнаруживать на "нейтральных" точках. Значение по умолчанию — 1000 руб. (согласно ТЗ).</t>
        </r>
      </text>
    </comment>
    <comment ref="D9" authorId="0">
      <text>
        <r>
          <rPr>
            <sz val="10"/>
            <rFont val="Arial"/>
            <family val="2"/>
          </rPr>
          <t xml:space="preserve">Суммарный прирост выручки по торговым точкам с положительным исходом теста.</t>
        </r>
      </text>
    </comment>
    <comment ref="D10" authorId="0">
      <text>
        <r>
          <rPr>
            <sz val="10"/>
            <rFont val="Arial"/>
            <family val="2"/>
          </rPr>
          <t xml:space="preserve">Суммарное падение выручки по торговым точкам с отрицательным исходом теста (отрицательное значение = потеря).</t>
        </r>
      </text>
    </comment>
    <comment ref="D11" authorId="0">
      <text>
        <r>
          <rPr>
            <sz val="10"/>
            <rFont val="Arial"/>
            <family val="2"/>
          </rPr>
          <t xml:space="preserve">Сумма прироста и падения выручки — чистый эффект от перехода на пуш-уведомления.</t>
        </r>
      </text>
    </comment>
    <comment ref="D12" authorId="0">
      <text>
        <r>
          <rPr>
            <sz val="10"/>
            <rFont val="Arial"/>
            <family val="2"/>
          </rPr>
          <t xml:space="preserve">Суммарное необходимое количество наблюдений, которое нужно накопить на "нейтральных" точках, чтобы обнаружить разницу масштаба MDE.</t>
        </r>
      </text>
    </comment>
  </commentList>
</comments>
</file>

<file path=xl/sharedStrings.xml><?xml version="1.0" encoding="utf-8"?>
<sst xmlns="http://schemas.openxmlformats.org/spreadsheetml/2006/main" count="104" uniqueCount="40">
  <si>
    <t xml:space="preserve">Калькулятор SkyLenta: влияние перехода с баннера на пуш-уведомления</t>
  </si>
  <si>
    <t xml:space="preserve">Входные параметры</t>
  </si>
  <si>
    <t xml:space="preserve">N — количество клиентов, для которого моделируется эффект</t>
  </si>
  <si>
    <t xml:space="preserve">MDE — минимальная разница средних чеков, руб.</t>
  </si>
  <si>
    <t xml:space="preserve">Результаты</t>
  </si>
  <si>
    <t xml:space="preserve">Прирост выручки, руб.</t>
  </si>
  <si>
    <t xml:space="preserve">Падение выручки, руб.</t>
  </si>
  <si>
    <t xml:space="preserve">Баланс, руб.</t>
  </si>
  <si>
    <t xml:space="preserve">Кол-во наблюдений (нейтральные точки)</t>
  </si>
  <si>
    <t xml:space="preserve">Легенда: жёлтые ячейки — параметры для редактирования (N и MDE). Остальные значения считаются автоматически по формулам со ссылками на листы "Положительные исходы", "Отрицательные исходы" и "Нейтральные исходы".</t>
  </si>
  <si>
    <t xml:space="preserve">Город</t>
  </si>
  <si>
    <t xml:space="preserve">ID торговой точки</t>
  </si>
  <si>
    <t xml:space="preserve">Кол-во наблюдений (тест)</t>
  </si>
  <si>
    <t xml:space="preserve">Кол-во наблюдений (контроль)</t>
  </si>
  <si>
    <t xml:space="preserve">Кол-во наблюдений (всего)</t>
  </si>
  <si>
    <t xml:space="preserve">Доля от всех наблюдений</t>
  </si>
  <si>
    <t xml:space="preserve">Средний платёж (тест)</t>
  </si>
  <si>
    <t xml:space="preserve">Средний платёж (контроль)</t>
  </si>
  <si>
    <t xml:space="preserve">Разница средних платежей</t>
  </si>
  <si>
    <t xml:space="preserve">Стд. отклонение (тест)</t>
  </si>
  <si>
    <t xml:space="preserve">Стд. отклонение (контроль)</t>
  </si>
  <si>
    <t xml:space="preserve">t-статистика</t>
  </si>
  <si>
    <t xml:space="preserve">p-value (t-тест)</t>
  </si>
  <si>
    <t xml:space="preserve">Казань</t>
  </si>
  <si>
    <t xml:space="preserve">Санкт-Петербург</t>
  </si>
  <si>
    <t xml:space="preserve">Москва</t>
  </si>
  <si>
    <t xml:space="preserve">Владимир</t>
  </si>
  <si>
    <t xml:space="preserve">Самара</t>
  </si>
  <si>
    <t xml:space="preserve">Волгоград</t>
  </si>
  <si>
    <t xml:space="preserve">Краснодар</t>
  </si>
  <si>
    <t xml:space="preserve">Мин. сигма</t>
  </si>
  <si>
    <t xml:space="preserve">Необходимо наблюдений</t>
  </si>
  <si>
    <t xml:space="preserve">Красноярск</t>
  </si>
  <si>
    <t xml:space="preserve">Мурманск</t>
  </si>
  <si>
    <t xml:space="preserve">Саратов</t>
  </si>
  <si>
    <t xml:space="preserve">Тольятти</t>
  </si>
  <si>
    <t xml:space="preserve">Тюмень</t>
  </si>
  <si>
    <t xml:space="preserve">Сочи</t>
  </si>
  <si>
    <t xml:space="preserve">Сахалинск</t>
  </si>
  <si>
    <t xml:space="preserve">Дмитров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</si>
</sst>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#,##0.00"/>
    <numFmt numFmtId="168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8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</row>
    <row r="5" customFormat="false" ht="26.85" hidden="false" customHeight="false" outlineLevel="0" collapsed="false">
      <c r="B5" s="3" t="s">
        <v>2</v>
      </c>
      <c r="D5" s="4" t="n">
        <v>10000</v>
      </c>
    </row>
    <row r="6" customFormat="false" ht="26.85" hidden="false" customHeight="false" outlineLevel="0" collapsed="false">
      <c r="B6" s="3" t="s">
        <v>3</v>
      </c>
      <c r="D6" s="4" t="n">
        <v>1000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5" t="s">
        <v>5</v>
      </c>
      <c r="D9" s="6" t="n">
        <f aca="false">SUM('Положительные исходы'!N2:N18)</f>
        <v>2636331.97169594</v>
      </c>
    </row>
    <row r="10" customFormat="false" ht="15" hidden="false" customHeight="false" outlineLevel="0" collapsed="false">
      <c r="B10" s="5" t="s">
        <v>6</v>
      </c>
      <c r="D10" s="6" t="n">
        <f aca="false">SUM('Отрицательные исходы'!N2:N4)</f>
        <v>-256137.438913562</v>
      </c>
    </row>
    <row r="11" customFormat="false" ht="15" hidden="false" customHeight="false" outlineLevel="0" collapsed="false">
      <c r="B11" s="5" t="s">
        <v>7</v>
      </c>
      <c r="D11" s="6" t="n">
        <f aca="false">D9+D10</f>
        <v>2380194.53278237</v>
      </c>
    </row>
    <row r="12" customFormat="false" ht="15" hidden="false" customHeight="false" outlineLevel="0" collapsed="false">
      <c r="B12" s="5" t="s">
        <v>8</v>
      </c>
      <c r="D12" s="6" t="n">
        <f aca="false">SUM('Нейтральные исходы'!O2:O32)</f>
        <v>3728.70453146093</v>
      </c>
    </row>
    <row r="14" customFormat="false" ht="15" hidden="false" customHeight="true" outlineLevel="0" collapsed="false">
      <c r="B14" s="7" t="s">
        <v>9</v>
      </c>
      <c r="C14" s="7"/>
      <c r="D14" s="7"/>
      <c r="E14" s="7"/>
      <c r="F14" s="7"/>
    </row>
    <row r="15" customFormat="false" ht="15" hidden="false" customHeight="false" outlineLevel="0" collapsed="false">
      <c r="B15" s="7"/>
      <c r="C15" s="7"/>
      <c r="D15" s="7"/>
      <c r="E15" s="7"/>
      <c r="F15" s="7"/>
    </row>
    <row r="16" customFormat="false" ht="15" hidden="false" customHeight="false" outlineLevel="0" collapsed="false">
      <c r="B16" s="7"/>
      <c r="C16" s="7"/>
      <c r="D16" s="7"/>
      <c r="E16" s="7"/>
      <c r="F16" s="7"/>
    </row>
    <row r="17" customFormat="false" ht="15" hidden="false" customHeight="false" outlineLevel="0" collapsed="false">
      <c r="B17" s="7"/>
      <c r="C17" s="7"/>
      <c r="D17" s="7"/>
      <c r="E17" s="7"/>
      <c r="F17" s="7"/>
    </row>
  </sheetData>
  <mergeCells count="2">
    <mergeCell ref="B2:E2"/>
    <mergeCell ref="B14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39.55" hidden="false" customHeight="false" outlineLevel="0" collapsed="false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5</v>
      </c>
    </row>
    <row r="2" customFormat="false" ht="15" hidden="false" customHeight="false" outlineLevel="0" collapsed="false">
      <c r="A2" s="9" t="s">
        <v>23</v>
      </c>
      <c r="B2" s="9" t="n">
        <v>991</v>
      </c>
      <c r="C2" s="9" t="n">
        <v>270</v>
      </c>
      <c r="D2" s="9" t="n">
        <v>294</v>
      </c>
      <c r="E2" s="9" t="n">
        <v>564</v>
      </c>
      <c r="F2" s="10" t="n">
        <v>0.0124453859393618</v>
      </c>
      <c r="G2" s="11" t="n">
        <v>3249.28148148148</v>
      </c>
      <c r="H2" s="11" t="n">
        <v>2452.98639455782</v>
      </c>
      <c r="I2" s="11" t="n">
        <v>796.295086923658</v>
      </c>
      <c r="J2" s="11" t="n">
        <v>4719.5926012698</v>
      </c>
      <c r="K2" s="11" t="n">
        <v>3633.93585831394</v>
      </c>
      <c r="L2" s="9" t="n">
        <v>2.23081619469655</v>
      </c>
      <c r="M2" s="12" t="n">
        <v>0.0261322335447562</v>
      </c>
      <c r="N2" s="6" t="n">
        <f aca="false">I2*Итог!$D$5*F2</f>
        <v>99101.9967838261</v>
      </c>
    </row>
    <row r="3" customFormat="false" ht="15" hidden="false" customHeight="false" outlineLevel="0" collapsed="false">
      <c r="A3" s="9" t="s">
        <v>24</v>
      </c>
      <c r="B3" s="9" t="n">
        <v>453</v>
      </c>
      <c r="C3" s="9" t="n">
        <v>1066</v>
      </c>
      <c r="D3" s="9" t="n">
        <v>1049</v>
      </c>
      <c r="E3" s="9" t="n">
        <v>2115</v>
      </c>
      <c r="F3" s="10" t="n">
        <v>0.0466701972726069</v>
      </c>
      <c r="G3" s="11" t="n">
        <v>2501.96622889306</v>
      </c>
      <c r="H3" s="11" t="n">
        <v>1889.92373689228</v>
      </c>
      <c r="I3" s="11" t="n">
        <v>612.04249200078</v>
      </c>
      <c r="J3" s="11" t="n">
        <v>2993.44254013869</v>
      </c>
      <c r="K3" s="11" t="n">
        <v>2648.65930328259</v>
      </c>
      <c r="L3" s="9" t="n">
        <v>4.98178583682082</v>
      </c>
      <c r="M3" s="12" t="n">
        <v>6.81739800465606E-007</v>
      </c>
      <c r="N3" s="6" t="n">
        <f aca="false">I3*Итог!$D$5*F3</f>
        <v>285641.438408943</v>
      </c>
    </row>
    <row r="4" customFormat="false" ht="15" hidden="false" customHeight="false" outlineLevel="0" collapsed="false">
      <c r="A4" s="9" t="s">
        <v>24</v>
      </c>
      <c r="B4" s="9" t="n">
        <v>801</v>
      </c>
      <c r="C4" s="9" t="n">
        <v>225</v>
      </c>
      <c r="D4" s="9" t="n">
        <v>212</v>
      </c>
      <c r="E4" s="9" t="n">
        <v>437</v>
      </c>
      <c r="F4" s="10" t="n">
        <v>0.00964296747429278</v>
      </c>
      <c r="G4" s="11" t="n">
        <v>2925.14222222222</v>
      </c>
      <c r="H4" s="11" t="n">
        <v>2352.28301886793</v>
      </c>
      <c r="I4" s="11" t="n">
        <v>572.859203354298</v>
      </c>
      <c r="J4" s="11" t="n">
        <v>2774.29206337343</v>
      </c>
      <c r="K4" s="11" t="n">
        <v>2928.28583781651</v>
      </c>
      <c r="L4" s="9" t="n">
        <v>2.09661406267625</v>
      </c>
      <c r="M4" s="12" t="n">
        <v>0.036612171922678</v>
      </c>
      <c r="N4" s="6" t="n">
        <f aca="false">I4*Итог!$D$5*F4</f>
        <v>55240.6266529476</v>
      </c>
    </row>
    <row r="5" customFormat="false" ht="15" hidden="false" customHeight="false" outlineLevel="0" collapsed="false">
      <c r="A5" s="9" t="s">
        <v>24</v>
      </c>
      <c r="B5" s="9" t="n">
        <v>573</v>
      </c>
      <c r="C5" s="9" t="n">
        <v>177</v>
      </c>
      <c r="D5" s="9" t="n">
        <v>160</v>
      </c>
      <c r="E5" s="9" t="n">
        <v>337</v>
      </c>
      <c r="F5" s="10" t="n">
        <v>0.00743633876163997</v>
      </c>
      <c r="G5" s="11" t="n">
        <v>2929.04519774011</v>
      </c>
      <c r="H5" s="11" t="n">
        <v>1641.2125</v>
      </c>
      <c r="I5" s="11" t="n">
        <v>1287.83269774011</v>
      </c>
      <c r="J5" s="11" t="n">
        <v>3201.0981368956</v>
      </c>
      <c r="K5" s="11" t="n">
        <v>2619.04478095023</v>
      </c>
      <c r="L5" s="9" t="n">
        <v>4.0570153889805</v>
      </c>
      <c r="M5" s="12" t="n">
        <v>6.20171294455238E-005</v>
      </c>
      <c r="N5" s="6" t="n">
        <f aca="false">I5*Итог!$D$5*F5</f>
        <v>95767.6020871217</v>
      </c>
    </row>
    <row r="6" customFormat="false" ht="15" hidden="false" customHeight="false" outlineLevel="0" collapsed="false">
      <c r="A6" s="9" t="s">
        <v>24</v>
      </c>
      <c r="B6" s="9" t="n">
        <v>900</v>
      </c>
      <c r="C6" s="9" t="n">
        <v>335</v>
      </c>
      <c r="D6" s="9" t="n">
        <v>341</v>
      </c>
      <c r="E6" s="9" t="n">
        <v>676</v>
      </c>
      <c r="F6" s="10" t="n">
        <v>0.014916810097533</v>
      </c>
      <c r="G6" s="11" t="n">
        <v>2450.99104477612</v>
      </c>
      <c r="H6" s="11" t="n">
        <v>1689.79178885631</v>
      </c>
      <c r="I6" s="11" t="n">
        <v>761.199255919815</v>
      </c>
      <c r="J6" s="11" t="n">
        <v>2865.60735584686</v>
      </c>
      <c r="K6" s="11" t="n">
        <v>2492.47261134106</v>
      </c>
      <c r="L6" s="9" t="n">
        <v>3.6823738401673</v>
      </c>
      <c r="M6" s="12" t="n">
        <v>0.000250038585743716</v>
      </c>
      <c r="N6" s="6" t="n">
        <f aca="false">I6*Итог!$D$5*F6</f>
        <v>113546.647469393</v>
      </c>
    </row>
    <row r="7" customFormat="false" ht="15" hidden="false" customHeight="false" outlineLevel="0" collapsed="false">
      <c r="A7" s="9" t="s">
        <v>24</v>
      </c>
      <c r="B7" s="9" t="n">
        <v>117</v>
      </c>
      <c r="C7" s="9" t="n">
        <v>625</v>
      </c>
      <c r="D7" s="9" t="n">
        <v>587</v>
      </c>
      <c r="E7" s="9" t="n">
        <v>1212</v>
      </c>
      <c r="F7" s="10" t="n">
        <v>0.0267443399973521</v>
      </c>
      <c r="G7" s="11" t="n">
        <v>2582.2976</v>
      </c>
      <c r="H7" s="11" t="n">
        <v>2050.69165247019</v>
      </c>
      <c r="I7" s="11" t="n">
        <v>531.605947529813</v>
      </c>
      <c r="J7" s="11" t="n">
        <v>2835.0045031864</v>
      </c>
      <c r="K7" s="11" t="n">
        <v>2595.73779196263</v>
      </c>
      <c r="L7" s="9" t="n">
        <v>3.40758631236341</v>
      </c>
      <c r="M7" s="12" t="n">
        <v>0.000676955514344764</v>
      </c>
      <c r="N7" s="6" t="n">
        <f aca="false">I7*Итог!$D$5*F7</f>
        <v>142174.502053518</v>
      </c>
    </row>
    <row r="8" customFormat="false" ht="15" hidden="false" customHeight="false" outlineLevel="0" collapsed="false">
      <c r="A8" s="9" t="s">
        <v>24</v>
      </c>
      <c r="B8" s="9" t="n">
        <v>213</v>
      </c>
      <c r="C8" s="9" t="n">
        <v>232</v>
      </c>
      <c r="D8" s="9" t="n">
        <v>255</v>
      </c>
      <c r="E8" s="9" t="n">
        <v>487</v>
      </c>
      <c r="F8" s="10" t="n">
        <v>0.0107462818306192</v>
      </c>
      <c r="G8" s="11" t="n">
        <v>2977.62931034483</v>
      </c>
      <c r="H8" s="11" t="n">
        <v>2277.61176470588</v>
      </c>
      <c r="I8" s="11" t="n">
        <v>700.017545638945</v>
      </c>
      <c r="J8" s="11" t="n">
        <v>2905.494362359</v>
      </c>
      <c r="K8" s="11" t="n">
        <v>2710.04341320132</v>
      </c>
      <c r="L8" s="9" t="n">
        <v>2.74171569793541</v>
      </c>
      <c r="M8" s="12" t="n">
        <v>0.00634388374383146</v>
      </c>
      <c r="N8" s="6" t="n">
        <f aca="false">I8*Итог!$D$5*F8</f>
        <v>75225.8583181443</v>
      </c>
    </row>
    <row r="9" customFormat="false" ht="15" hidden="false" customHeight="false" outlineLevel="0" collapsed="false">
      <c r="A9" s="9" t="s">
        <v>24</v>
      </c>
      <c r="B9" s="9" t="n">
        <v>891</v>
      </c>
      <c r="C9" s="9" t="n">
        <v>159</v>
      </c>
      <c r="D9" s="9" t="n">
        <v>167</v>
      </c>
      <c r="E9" s="9" t="n">
        <v>326</v>
      </c>
      <c r="F9" s="10" t="n">
        <v>0.00719360960324816</v>
      </c>
      <c r="G9" s="11" t="n">
        <v>2618.94968553459</v>
      </c>
      <c r="H9" s="11" t="n">
        <v>1980.65868263473</v>
      </c>
      <c r="I9" s="11" t="n">
        <v>638.291002899861</v>
      </c>
      <c r="J9" s="11" t="n">
        <v>2899.78246412116</v>
      </c>
      <c r="K9" s="11" t="n">
        <v>2489.57194213982</v>
      </c>
      <c r="L9" s="9" t="n">
        <v>2.12765168400168</v>
      </c>
      <c r="M9" s="12" t="n">
        <v>0.0341509937691341</v>
      </c>
      <c r="N9" s="6" t="n">
        <f aca="false">I9*Итог!$D$5*F9</f>
        <v>45916.1628812734</v>
      </c>
    </row>
    <row r="10" customFormat="false" ht="15" hidden="false" customHeight="false" outlineLevel="0" collapsed="false">
      <c r="A10" s="9" t="s">
        <v>25</v>
      </c>
      <c r="B10" s="9" t="n">
        <v>2652</v>
      </c>
      <c r="C10" s="9" t="n">
        <v>2273</v>
      </c>
      <c r="D10" s="9" t="n">
        <v>2370</v>
      </c>
      <c r="E10" s="9" t="n">
        <v>4643</v>
      </c>
      <c r="F10" s="10" t="n">
        <v>0.10245377112847</v>
      </c>
      <c r="G10" s="11" t="n">
        <v>2506.61680598328</v>
      </c>
      <c r="H10" s="11" t="n">
        <v>1972.84767932489</v>
      </c>
      <c r="I10" s="11" t="n">
        <v>533.769126658388</v>
      </c>
      <c r="J10" s="11" t="n">
        <v>2842.18294845999</v>
      </c>
      <c r="K10" s="11" t="n">
        <v>2565.8782422552</v>
      </c>
      <c r="L10" s="9" t="n">
        <v>6.70792895023831</v>
      </c>
      <c r="M10" s="12" t="n">
        <v>2.21565803411571E-011</v>
      </c>
      <c r="N10" s="6" t="n">
        <f aca="false">I10*Итог!$D$5*F10</f>
        <v>546866.599381017</v>
      </c>
    </row>
    <row r="11" customFormat="false" ht="15" hidden="false" customHeight="false" outlineLevel="0" collapsed="false">
      <c r="A11" s="9" t="s">
        <v>25</v>
      </c>
      <c r="B11" s="9" t="n">
        <v>1287</v>
      </c>
      <c r="C11" s="9" t="n">
        <v>370</v>
      </c>
      <c r="D11" s="9" t="n">
        <v>357</v>
      </c>
      <c r="E11" s="9" t="n">
        <v>727</v>
      </c>
      <c r="F11" s="10" t="n">
        <v>0.0160421907409859</v>
      </c>
      <c r="G11" s="11" t="n">
        <v>2128.55675675676</v>
      </c>
      <c r="H11" s="11" t="n">
        <v>1394.65546218487</v>
      </c>
      <c r="I11" s="11" t="n">
        <v>733.901294571883</v>
      </c>
      <c r="J11" s="11" t="n">
        <v>2437.37645802304</v>
      </c>
      <c r="K11" s="11" t="n">
        <v>2338.46177871498</v>
      </c>
      <c r="L11" s="9" t="n">
        <v>4.14336803753343</v>
      </c>
      <c r="M11" s="12" t="n">
        <v>3.82620080545597E-005</v>
      </c>
      <c r="N11" s="6" t="n">
        <f aca="false">I11*Итог!$D$5*F11</f>
        <v>117733.845525786</v>
      </c>
    </row>
    <row r="12" customFormat="false" ht="15" hidden="false" customHeight="false" outlineLevel="0" collapsed="false">
      <c r="A12" s="9" t="s">
        <v>25</v>
      </c>
      <c r="B12" s="9" t="n">
        <v>1654</v>
      </c>
      <c r="C12" s="9" t="n">
        <v>799</v>
      </c>
      <c r="D12" s="9" t="n">
        <v>775</v>
      </c>
      <c r="E12" s="9" t="n">
        <v>1574</v>
      </c>
      <c r="F12" s="10" t="n">
        <v>0.0347323359371552</v>
      </c>
      <c r="G12" s="11" t="n">
        <v>3132.30162703379</v>
      </c>
      <c r="H12" s="11" t="n">
        <v>2507.8864516129</v>
      </c>
      <c r="I12" s="11" t="n">
        <v>624.415175420889</v>
      </c>
      <c r="J12" s="11" t="n">
        <v>3199.66020014248</v>
      </c>
      <c r="K12" s="11" t="n">
        <v>2950.5128884517</v>
      </c>
      <c r="L12" s="9" t="n">
        <v>4.02670580668052</v>
      </c>
      <c r="M12" s="12" t="n">
        <v>5.92660495029252E-005</v>
      </c>
      <c r="N12" s="6" t="n">
        <f aca="false">I12*Итог!$D$5*F12</f>
        <v>216873.97636976</v>
      </c>
    </row>
    <row r="13" customFormat="false" ht="15" hidden="false" customHeight="false" outlineLevel="0" collapsed="false">
      <c r="A13" s="9" t="s">
        <v>25</v>
      </c>
      <c r="B13" s="9" t="n">
        <v>1002</v>
      </c>
      <c r="C13" s="9" t="n">
        <v>138</v>
      </c>
      <c r="D13" s="9" t="n">
        <v>188</v>
      </c>
      <c r="E13" s="9" t="n">
        <v>326</v>
      </c>
      <c r="F13" s="10" t="n">
        <v>0.00719360960324816</v>
      </c>
      <c r="G13" s="11" t="n">
        <v>4121.75362318841</v>
      </c>
      <c r="H13" s="11" t="n">
        <v>1844.78723404255</v>
      </c>
      <c r="I13" s="11" t="n">
        <v>2276.96638914585</v>
      </c>
      <c r="J13" s="11" t="n">
        <v>4084.26317598171</v>
      </c>
      <c r="K13" s="11" t="n">
        <v>2436.53612011991</v>
      </c>
      <c r="L13" s="9" t="n">
        <v>5.8315444967907</v>
      </c>
      <c r="M13" s="12" t="n">
        <v>2.08112146392214E-008</v>
      </c>
      <c r="N13" s="6" t="n">
        <f aca="false">I13*Итог!$D$5*F13</f>
        <v>163796.072832329</v>
      </c>
    </row>
    <row r="14" customFormat="false" ht="15" hidden="false" customHeight="false" outlineLevel="0" collapsed="false">
      <c r="A14" s="9" t="s">
        <v>26</v>
      </c>
      <c r="B14" s="9" t="n">
        <v>11</v>
      </c>
      <c r="C14" s="9" t="n">
        <v>509</v>
      </c>
      <c r="D14" s="9" t="n">
        <v>608</v>
      </c>
      <c r="E14" s="9" t="n">
        <v>1117</v>
      </c>
      <c r="F14" s="10" t="n">
        <v>0.0246480427203319</v>
      </c>
      <c r="G14" s="11" t="n">
        <v>2547.22003929273</v>
      </c>
      <c r="H14" s="11" t="n">
        <v>2108.61019736842</v>
      </c>
      <c r="I14" s="11" t="n">
        <v>438.609841924309</v>
      </c>
      <c r="J14" s="11" t="n">
        <v>3023.70216362691</v>
      </c>
      <c r="K14" s="11" t="n">
        <v>2663.03839197413</v>
      </c>
      <c r="L14" s="9" t="n">
        <v>2.5482347898198</v>
      </c>
      <c r="M14" s="12" t="n">
        <v>0.0109723972455383</v>
      </c>
      <c r="N14" s="6" t="n">
        <f aca="false">I14*Итог!$D$5*F14</f>
        <v>108108.741213084</v>
      </c>
    </row>
    <row r="15" customFormat="false" ht="15" hidden="false" customHeight="false" outlineLevel="0" collapsed="false">
      <c r="A15" s="9" t="s">
        <v>27</v>
      </c>
      <c r="B15" s="9" t="n">
        <v>33</v>
      </c>
      <c r="C15" s="9" t="n">
        <v>232</v>
      </c>
      <c r="D15" s="9" t="n">
        <v>258</v>
      </c>
      <c r="E15" s="9" t="n">
        <v>490</v>
      </c>
      <c r="F15" s="10" t="n">
        <v>0.0108124806919988</v>
      </c>
      <c r="G15" s="11" t="n">
        <v>4598.21982758621</v>
      </c>
      <c r="H15" s="11" t="n">
        <v>2311.38759689923</v>
      </c>
      <c r="I15" s="11" t="n">
        <v>2286.83223068698</v>
      </c>
      <c r="J15" s="11" t="n">
        <v>2931.23492568608</v>
      </c>
      <c r="K15" s="11" t="n">
        <v>2371.77129562613</v>
      </c>
      <c r="L15" s="9" t="n">
        <v>9.42764617927259</v>
      </c>
      <c r="M15" s="12" t="n">
        <v>2.33037312953584E-019</v>
      </c>
      <c r="N15" s="6" t="n">
        <f aca="false">I15*Итог!$D$5*F15</f>
        <v>247263.293401434</v>
      </c>
    </row>
    <row r="16" customFormat="false" ht="15" hidden="false" customHeight="false" outlineLevel="0" collapsed="false">
      <c r="A16" s="9" t="s">
        <v>27</v>
      </c>
      <c r="B16" s="9" t="n">
        <v>34</v>
      </c>
      <c r="C16" s="9" t="n">
        <v>225</v>
      </c>
      <c r="D16" s="9" t="n">
        <v>253</v>
      </c>
      <c r="E16" s="9" t="n">
        <v>478</v>
      </c>
      <c r="F16" s="10" t="n">
        <v>0.0105476852464804</v>
      </c>
      <c r="G16" s="11" t="n">
        <v>3104.50666666667</v>
      </c>
      <c r="H16" s="11" t="n">
        <v>1752.60869565217</v>
      </c>
      <c r="I16" s="11" t="n">
        <v>1351.89797101449</v>
      </c>
      <c r="J16" s="11" t="n">
        <v>2956.82691459225</v>
      </c>
      <c r="K16" s="11" t="n">
        <v>2529.70079812205</v>
      </c>
      <c r="L16" s="9" t="n">
        <v>5.3375522525398</v>
      </c>
      <c r="M16" s="12" t="n">
        <v>1.506630520204E-007</v>
      </c>
      <c r="N16" s="6" t="n">
        <f aca="false">I16*Итог!$D$5*F16</f>
        <v>142593.942836164</v>
      </c>
    </row>
    <row r="17" customFormat="false" ht="15" hidden="false" customHeight="false" outlineLevel="0" collapsed="false">
      <c r="A17" s="9" t="s">
        <v>27</v>
      </c>
      <c r="B17" s="9" t="n">
        <v>35</v>
      </c>
      <c r="C17" s="9" t="n">
        <v>214</v>
      </c>
      <c r="D17" s="9" t="n">
        <v>194</v>
      </c>
      <c r="E17" s="9" t="n">
        <v>408</v>
      </c>
      <c r="F17" s="10" t="n">
        <v>0.00900304514762346</v>
      </c>
      <c r="G17" s="11" t="n">
        <v>2762.22429906542</v>
      </c>
      <c r="H17" s="11" t="n">
        <v>1508.83505154639</v>
      </c>
      <c r="I17" s="11" t="n">
        <v>1253.38924751903</v>
      </c>
      <c r="J17" s="11" t="n">
        <v>2977.08354721636</v>
      </c>
      <c r="K17" s="11" t="n">
        <v>2184.80809406323</v>
      </c>
      <c r="L17" s="9" t="n">
        <v>4.87803149281188</v>
      </c>
      <c r="M17" s="12" t="n">
        <v>1.56434351857128E-006</v>
      </c>
      <c r="N17" s="6" t="n">
        <f aca="false">I17*Итог!$D$5*F17</f>
        <v>112843.199829596</v>
      </c>
    </row>
    <row r="18" customFormat="false" ht="15" hidden="false" customHeight="false" outlineLevel="0" collapsed="false">
      <c r="A18" s="9" t="s">
        <v>27</v>
      </c>
      <c r="B18" s="9" t="n">
        <v>36</v>
      </c>
      <c r="C18" s="9" t="n">
        <v>131</v>
      </c>
      <c r="D18" s="9" t="n">
        <v>141</v>
      </c>
      <c r="E18" s="9" t="n">
        <v>272</v>
      </c>
      <c r="F18" s="10" t="n">
        <v>0.00600203009841564</v>
      </c>
      <c r="G18" s="11" t="n">
        <v>1987.32824427481</v>
      </c>
      <c r="H18" s="11" t="n">
        <v>860.418439716312</v>
      </c>
      <c r="I18" s="11" t="n">
        <v>1126.9098045585</v>
      </c>
      <c r="J18" s="11" t="n">
        <v>2718.50266321158</v>
      </c>
      <c r="K18" s="11" t="n">
        <v>1840.82663945161</v>
      </c>
      <c r="L18" s="9" t="n">
        <v>3.97314083221846</v>
      </c>
      <c r="M18" s="12" t="n">
        <v>9.53836979939938E-005</v>
      </c>
      <c r="N18" s="6" t="n">
        <f aca="false">I18*Итог!$D$5*F18</f>
        <v>67637.4656515979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39.55" hidden="false" customHeight="false" outlineLevel="0" collapsed="false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6</v>
      </c>
    </row>
    <row r="2" customFormat="false" ht="15" hidden="false" customHeight="false" outlineLevel="0" collapsed="false">
      <c r="A2" s="9" t="s">
        <v>25</v>
      </c>
      <c r="B2" s="9" t="n">
        <v>9931</v>
      </c>
      <c r="C2" s="9" t="n">
        <v>153</v>
      </c>
      <c r="D2" s="9" t="n">
        <v>137</v>
      </c>
      <c r="E2" s="9" t="n">
        <v>290</v>
      </c>
      <c r="F2" s="10" t="n">
        <v>0.00639922326669315</v>
      </c>
      <c r="G2" s="11" t="n">
        <v>1415.78431372549</v>
      </c>
      <c r="H2" s="11" t="n">
        <v>1968.69343065693</v>
      </c>
      <c r="I2" s="11" t="n">
        <v>-552.909116931444</v>
      </c>
      <c r="J2" s="11" t="n">
        <v>2038.16424736232</v>
      </c>
      <c r="K2" s="11" t="n">
        <v>2403.39785684047</v>
      </c>
      <c r="L2" s="9" t="n">
        <v>-2.10011597194835</v>
      </c>
      <c r="M2" s="12" t="n">
        <v>0.0366530692485868</v>
      </c>
      <c r="N2" s="6" t="n">
        <f aca="false">I2*Итог!$D$5*F2</f>
        <v>-35381.8888543446</v>
      </c>
    </row>
    <row r="3" customFormat="false" ht="15" hidden="false" customHeight="false" outlineLevel="0" collapsed="false">
      <c r="A3" s="9" t="s">
        <v>28</v>
      </c>
      <c r="B3" s="9" t="n">
        <v>66</v>
      </c>
      <c r="C3" s="9" t="n">
        <v>657</v>
      </c>
      <c r="D3" s="9" t="n">
        <v>703</v>
      </c>
      <c r="E3" s="9" t="n">
        <v>1360</v>
      </c>
      <c r="F3" s="10" t="n">
        <v>0.0300101504920782</v>
      </c>
      <c r="G3" s="11" t="n">
        <v>2288.87062404871</v>
      </c>
      <c r="H3" s="11" t="n">
        <v>2601.76102418208</v>
      </c>
      <c r="I3" s="11" t="n">
        <v>-312.89040013337</v>
      </c>
      <c r="J3" s="11" t="n">
        <v>2682.56761047336</v>
      </c>
      <c r="K3" s="11" t="n">
        <v>2830.19377334151</v>
      </c>
      <c r="L3" s="9" t="n">
        <v>-2.09306015371097</v>
      </c>
      <c r="M3" s="12" t="n">
        <v>0.0365289817679569</v>
      </c>
      <c r="N3" s="6" t="n">
        <f aca="false">I3*Итог!$D$5*F3</f>
        <v>-93898.8799552901</v>
      </c>
    </row>
    <row r="4" customFormat="false" ht="15" hidden="false" customHeight="false" outlineLevel="0" collapsed="false">
      <c r="A4" s="9" t="s">
        <v>29</v>
      </c>
      <c r="B4" s="9" t="n">
        <v>1101</v>
      </c>
      <c r="C4" s="9" t="n">
        <v>785</v>
      </c>
      <c r="D4" s="9" t="n">
        <v>869</v>
      </c>
      <c r="E4" s="9" t="n">
        <v>1654</v>
      </c>
      <c r="F4" s="10" t="n">
        <v>0.0364976389072775</v>
      </c>
      <c r="G4" s="11" t="n">
        <v>2176.00382165605</v>
      </c>
      <c r="H4" s="11" t="n">
        <v>2523.57882623705</v>
      </c>
      <c r="I4" s="11" t="n">
        <v>-347.575004581003</v>
      </c>
      <c r="J4" s="11" t="n">
        <v>2722.62449374018</v>
      </c>
      <c r="K4" s="11" t="n">
        <v>2960.35233763843</v>
      </c>
      <c r="L4" s="9" t="n">
        <v>-2.48727009794995</v>
      </c>
      <c r="M4" s="12" t="n">
        <v>0.0129708219210436</v>
      </c>
      <c r="N4" s="6" t="n">
        <f aca="false">I4*Итог!$D$5*F4</f>
        <v>-126856.670103928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39.55" hidden="false" customHeight="false" outlineLevel="0" collapsed="false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30</v>
      </c>
      <c r="O1" s="8" t="s">
        <v>31</v>
      </c>
    </row>
    <row r="2" customFormat="false" ht="15" hidden="false" customHeight="false" outlineLevel="0" collapsed="false">
      <c r="A2" s="9" t="s">
        <v>32</v>
      </c>
      <c r="B2" s="9" t="n">
        <v>212</v>
      </c>
      <c r="C2" s="9" t="n">
        <v>593</v>
      </c>
      <c r="D2" s="9" t="n">
        <v>575</v>
      </c>
      <c r="E2" s="9" t="n">
        <v>1168</v>
      </c>
      <c r="F2" s="10" t="n">
        <v>0.0257734233637848</v>
      </c>
      <c r="G2" s="11" t="n">
        <v>2144.31703204047</v>
      </c>
      <c r="H2" s="11" t="n">
        <v>2222.05217391304</v>
      </c>
      <c r="I2" s="11" t="n">
        <v>-77.7351418725716</v>
      </c>
      <c r="J2" s="11" t="n">
        <v>2708.58872398012</v>
      </c>
      <c r="K2" s="11" t="n">
        <v>2785.11625015723</v>
      </c>
      <c r="L2" s="9" t="n">
        <v>-0.483377664653964</v>
      </c>
      <c r="M2" s="12" t="n">
        <v>0.628918671082237</v>
      </c>
      <c r="N2" s="13" t="n">
        <f aca="false">MIN(J2,K2)</f>
        <v>2708.58872398012</v>
      </c>
      <c r="O2" s="6" t="n">
        <f aca="false">2*((1.959964+0.841621)^2)*N2^2/Итог!$D$6^2</f>
        <v>115.165854663631</v>
      </c>
    </row>
    <row r="3" customFormat="false" ht="15" hidden="false" customHeight="false" outlineLevel="0" collapsed="false">
      <c r="A3" s="9" t="s">
        <v>32</v>
      </c>
      <c r="B3" s="9" t="n">
        <v>278</v>
      </c>
      <c r="C3" s="9" t="n">
        <v>535</v>
      </c>
      <c r="D3" s="9" t="n">
        <v>489</v>
      </c>
      <c r="E3" s="9" t="n">
        <v>1024</v>
      </c>
      <c r="F3" s="10" t="n">
        <v>0.0225958780175648</v>
      </c>
      <c r="G3" s="11" t="n">
        <v>2499.34579439252</v>
      </c>
      <c r="H3" s="11" t="n">
        <v>2185.21472392638</v>
      </c>
      <c r="I3" s="11" t="n">
        <v>314.131070466143</v>
      </c>
      <c r="J3" s="11" t="n">
        <v>2915.99532895364</v>
      </c>
      <c r="K3" s="11" t="n">
        <v>2574.91559723761</v>
      </c>
      <c r="L3" s="9" t="n">
        <v>1.83042588238713</v>
      </c>
      <c r="M3" s="12" t="n">
        <v>0.0674777161402111</v>
      </c>
      <c r="N3" s="13" t="n">
        <f aca="false">MIN(J3,K3)</f>
        <v>2574.91559723761</v>
      </c>
      <c r="O3" s="6" t="n">
        <f aca="false">2*((1.959964+0.841621)^2)*N3^2/Итог!$D$6^2</f>
        <v>104.079116871683</v>
      </c>
    </row>
    <row r="4" customFormat="false" ht="15" hidden="false" customHeight="false" outlineLevel="0" collapsed="false">
      <c r="A4" s="9" t="s">
        <v>32</v>
      </c>
      <c r="B4" s="9" t="n">
        <v>202</v>
      </c>
      <c r="C4" s="9" t="n">
        <v>551</v>
      </c>
      <c r="D4" s="9" t="n">
        <v>565</v>
      </c>
      <c r="E4" s="9" t="n">
        <v>1116</v>
      </c>
      <c r="F4" s="10" t="n">
        <v>0.0246259764332054</v>
      </c>
      <c r="G4" s="11" t="n">
        <v>2927.34119782214</v>
      </c>
      <c r="H4" s="11" t="n">
        <v>2730.37876106195</v>
      </c>
      <c r="I4" s="11" t="n">
        <v>196.962436760195</v>
      </c>
      <c r="J4" s="11" t="n">
        <v>2956.68624149488</v>
      </c>
      <c r="K4" s="11" t="n">
        <v>2737.88578516303</v>
      </c>
      <c r="L4" s="9" t="n">
        <v>1.15396059602899</v>
      </c>
      <c r="M4" s="12" t="n">
        <v>0.248766390263175</v>
      </c>
      <c r="N4" s="13" t="n">
        <f aca="false">MIN(J4,K4)</f>
        <v>2737.88578516303</v>
      </c>
      <c r="O4" s="6" t="n">
        <f aca="false">2*((1.959964+0.841621)^2)*N4^2/Итог!$D$6^2</f>
        <v>117.670678203404</v>
      </c>
    </row>
    <row r="5" customFormat="false" ht="15" hidden="false" customHeight="false" outlineLevel="0" collapsed="false">
      <c r="A5" s="9" t="s">
        <v>32</v>
      </c>
      <c r="B5" s="9" t="n">
        <v>444</v>
      </c>
      <c r="C5" s="9" t="n">
        <v>650</v>
      </c>
      <c r="D5" s="9" t="n">
        <v>562</v>
      </c>
      <c r="E5" s="9" t="n">
        <v>1212</v>
      </c>
      <c r="F5" s="10" t="n">
        <v>0.0267443399973521</v>
      </c>
      <c r="G5" s="11" t="n">
        <v>2404.10615384615</v>
      </c>
      <c r="H5" s="11" t="n">
        <v>2545.73487544484</v>
      </c>
      <c r="I5" s="11" t="n">
        <v>-141.628721598686</v>
      </c>
      <c r="J5" s="11" t="n">
        <v>2810.8284873546</v>
      </c>
      <c r="K5" s="11" t="n">
        <v>2797.13876393352</v>
      </c>
      <c r="L5" s="9" t="n">
        <v>-0.877051474341368</v>
      </c>
      <c r="M5" s="12" t="n">
        <v>0.380636228131269</v>
      </c>
      <c r="N5" s="13" t="n">
        <f aca="false">MIN(J5,K5)</f>
        <v>2797.13876393352</v>
      </c>
      <c r="O5" s="6" t="n">
        <f aca="false">2*((1.959964+0.841621)^2)*N5^2/Итог!$D$6^2</f>
        <v>122.819019648131</v>
      </c>
    </row>
    <row r="6" customFormat="false" ht="15" hidden="false" customHeight="false" outlineLevel="0" collapsed="false">
      <c r="A6" s="9" t="s">
        <v>32</v>
      </c>
      <c r="B6" s="9" t="n">
        <v>277</v>
      </c>
      <c r="C6" s="9" t="n">
        <v>708</v>
      </c>
      <c r="D6" s="9" t="n">
        <v>709</v>
      </c>
      <c r="E6" s="9" t="n">
        <v>1417</v>
      </c>
      <c r="F6" s="10" t="n">
        <v>0.0312679288582903</v>
      </c>
      <c r="G6" s="11" t="n">
        <v>2285.75</v>
      </c>
      <c r="H6" s="11" t="n">
        <v>2431.36530324401</v>
      </c>
      <c r="I6" s="11" t="n">
        <v>-145.615303244006</v>
      </c>
      <c r="J6" s="11" t="n">
        <v>2712.67787826281</v>
      </c>
      <c r="K6" s="11" t="n">
        <v>2868.58756864139</v>
      </c>
      <c r="L6" s="9" t="n">
        <v>-0.981744171079036</v>
      </c>
      <c r="M6" s="12" t="n">
        <v>0.32639422051119</v>
      </c>
      <c r="N6" s="13" t="n">
        <f aca="false">MIN(J6,K6)</f>
        <v>2712.67787826281</v>
      </c>
      <c r="O6" s="6" t="n">
        <f aca="false">2*((1.959964+0.841621)^2)*N6^2/Итог!$D$6^2</f>
        <v>115.513848750505</v>
      </c>
    </row>
    <row r="7" customFormat="false" ht="15" hidden="false" customHeight="false" outlineLevel="0" collapsed="false">
      <c r="A7" s="9" t="s">
        <v>33</v>
      </c>
      <c r="B7" s="9" t="n">
        <v>54</v>
      </c>
      <c r="C7" s="9" t="n">
        <v>633</v>
      </c>
      <c r="D7" s="9" t="n">
        <v>640</v>
      </c>
      <c r="E7" s="9" t="n">
        <v>1273</v>
      </c>
      <c r="F7" s="10" t="n">
        <v>0.0280903835120703</v>
      </c>
      <c r="G7" s="11" t="n">
        <v>1702.7140600316</v>
      </c>
      <c r="H7" s="11" t="n">
        <v>1688.5125</v>
      </c>
      <c r="I7" s="11" t="n">
        <v>14.2015600315956</v>
      </c>
      <c r="J7" s="11" t="n">
        <v>2565.13243953397</v>
      </c>
      <c r="K7" s="11" t="n">
        <v>2628.0124903234</v>
      </c>
      <c r="L7" s="9" t="n">
        <v>0.0975686568891962</v>
      </c>
      <c r="M7" s="12" t="n">
        <v>0.922290199882655</v>
      </c>
      <c r="N7" s="13" t="n">
        <f aca="false">MIN(J7,K7)</f>
        <v>2565.13243953397</v>
      </c>
      <c r="O7" s="6" t="n">
        <f aca="false">2*((1.959964+0.841621)^2)*N7^2/Итог!$D$6^2</f>
        <v>103.289741023124</v>
      </c>
    </row>
    <row r="8" customFormat="false" ht="15" hidden="false" customHeight="false" outlineLevel="0" collapsed="false">
      <c r="A8" s="9" t="s">
        <v>33</v>
      </c>
      <c r="B8" s="9" t="n">
        <v>55</v>
      </c>
      <c r="C8" s="9" t="n">
        <v>422</v>
      </c>
      <c r="D8" s="9" t="n">
        <v>425</v>
      </c>
      <c r="E8" s="9" t="n">
        <v>847</v>
      </c>
      <c r="F8" s="10" t="n">
        <v>0.0186901451961693</v>
      </c>
      <c r="G8" s="11" t="n">
        <v>2109.10663507109</v>
      </c>
      <c r="H8" s="11" t="n">
        <v>2111.27294117647</v>
      </c>
      <c r="I8" s="11" t="n">
        <v>-2.16630610538095</v>
      </c>
      <c r="J8" s="11" t="n">
        <v>2790.99338524618</v>
      </c>
      <c r="K8" s="11" t="n">
        <v>2804.22318824275</v>
      </c>
      <c r="L8" s="9" t="n">
        <v>-0.0112679348284012</v>
      </c>
      <c r="M8" s="12" t="n">
        <v>0.991012338717546</v>
      </c>
      <c r="N8" s="13" t="n">
        <f aca="false">MIN(J8,K8)</f>
        <v>2790.99338524618</v>
      </c>
      <c r="O8" s="6" t="n">
        <f aca="false">2*((1.959964+0.841621)^2)*N8^2/Итог!$D$6^2</f>
        <v>122.279940019654</v>
      </c>
    </row>
    <row r="9" customFormat="false" ht="15" hidden="false" customHeight="false" outlineLevel="0" collapsed="false">
      <c r="A9" s="9" t="s">
        <v>23</v>
      </c>
      <c r="B9" s="9" t="n">
        <v>699</v>
      </c>
      <c r="C9" s="9" t="n">
        <v>482</v>
      </c>
      <c r="D9" s="9" t="n">
        <v>494</v>
      </c>
      <c r="E9" s="9" t="n">
        <v>976</v>
      </c>
      <c r="F9" s="10" t="n">
        <v>0.0215366962354914</v>
      </c>
      <c r="G9" s="11" t="n">
        <v>2422.28630705394</v>
      </c>
      <c r="H9" s="11" t="n">
        <v>2574.35222672065</v>
      </c>
      <c r="I9" s="11" t="n">
        <v>-152.065919666706</v>
      </c>
      <c r="J9" s="11" t="n">
        <v>3906.81789749382</v>
      </c>
      <c r="K9" s="11" t="n">
        <v>4082.85135587167</v>
      </c>
      <c r="L9" s="9" t="n">
        <v>-0.594576045693225</v>
      </c>
      <c r="M9" s="12" t="n">
        <v>0.552265034957659</v>
      </c>
      <c r="N9" s="13" t="n">
        <f aca="false">MIN(J9,K9)</f>
        <v>3906.81789749382</v>
      </c>
      <c r="O9" s="6" t="n">
        <f aca="false">2*((1.959964+0.841621)^2)*N9^2/Итог!$D$6^2</f>
        <v>239.598414478674</v>
      </c>
    </row>
    <row r="10" customFormat="false" ht="15" hidden="false" customHeight="false" outlineLevel="0" collapsed="false">
      <c r="A10" s="9" t="s">
        <v>23</v>
      </c>
      <c r="B10" s="9" t="n">
        <v>477</v>
      </c>
      <c r="C10" s="9" t="n">
        <v>382</v>
      </c>
      <c r="D10" s="9" t="n">
        <v>386</v>
      </c>
      <c r="E10" s="9" t="n">
        <v>768</v>
      </c>
      <c r="F10" s="10" t="n">
        <v>0.0169469085131736</v>
      </c>
      <c r="G10" s="11" t="n">
        <v>2259.62303664922</v>
      </c>
      <c r="H10" s="11" t="n">
        <v>2496.98704663212</v>
      </c>
      <c r="I10" s="11" t="n">
        <v>-237.36400998291</v>
      </c>
      <c r="J10" s="11" t="n">
        <v>3482.8460937348</v>
      </c>
      <c r="K10" s="11" t="n">
        <v>3881.99471852255</v>
      </c>
      <c r="L10" s="9" t="n">
        <v>-0.892096031589885</v>
      </c>
      <c r="M10" s="12" t="n">
        <v>0.372624282107109</v>
      </c>
      <c r="N10" s="13" t="n">
        <f aca="false">MIN(J10,K10)</f>
        <v>3482.8460937348</v>
      </c>
      <c r="O10" s="6" t="n">
        <f aca="false">2*((1.959964+0.841621)^2)*N10^2/Итог!$D$6^2</f>
        <v>190.417197748556</v>
      </c>
    </row>
    <row r="11" customFormat="false" ht="15" hidden="false" customHeight="false" outlineLevel="0" collapsed="false">
      <c r="A11" s="9" t="s">
        <v>23</v>
      </c>
      <c r="B11" s="9" t="n">
        <v>544</v>
      </c>
      <c r="C11" s="9" t="n">
        <v>377</v>
      </c>
      <c r="D11" s="9" t="n">
        <v>416</v>
      </c>
      <c r="E11" s="9" t="n">
        <v>793</v>
      </c>
      <c r="F11" s="10" t="n">
        <v>0.0174985656913368</v>
      </c>
      <c r="G11" s="11" t="n">
        <v>2621.42705570292</v>
      </c>
      <c r="H11" s="11" t="n">
        <v>2635.54807692308</v>
      </c>
      <c r="I11" s="11" t="n">
        <v>-14.1210212201595</v>
      </c>
      <c r="J11" s="11" t="n">
        <v>3714.89475103768</v>
      </c>
      <c r="K11" s="11" t="n">
        <v>4639.82074618397</v>
      </c>
      <c r="L11" s="9" t="n">
        <v>-0.0475060127522767</v>
      </c>
      <c r="M11" s="12" t="n">
        <v>0.962122108887964</v>
      </c>
      <c r="N11" s="13" t="n">
        <f aca="false">MIN(J11,K11)</f>
        <v>3714.89475103768</v>
      </c>
      <c r="O11" s="6" t="n">
        <f aca="false">2*((1.959964+0.841621)^2)*N11^2/Итог!$D$6^2</f>
        <v>216.636001220958</v>
      </c>
    </row>
    <row r="12" customFormat="false" ht="15" hidden="false" customHeight="false" outlineLevel="0" collapsed="false">
      <c r="A12" s="9" t="s">
        <v>23</v>
      </c>
      <c r="B12" s="9" t="n">
        <v>516</v>
      </c>
      <c r="C12" s="9" t="n">
        <v>634</v>
      </c>
      <c r="D12" s="9" t="n">
        <v>636</v>
      </c>
      <c r="E12" s="9" t="n">
        <v>1270</v>
      </c>
      <c r="F12" s="10" t="n">
        <v>0.0280241846506907</v>
      </c>
      <c r="G12" s="11" t="n">
        <v>3237.20031545741</v>
      </c>
      <c r="H12" s="11" t="n">
        <v>2880.48427672956</v>
      </c>
      <c r="I12" s="11" t="n">
        <v>356.716038727853</v>
      </c>
      <c r="J12" s="11" t="n">
        <v>4537.10384229478</v>
      </c>
      <c r="K12" s="11" t="n">
        <v>3819.29281347058</v>
      </c>
      <c r="L12" s="9" t="n">
        <v>1.51548000436084</v>
      </c>
      <c r="M12" s="12" t="n">
        <v>0.129907636944327</v>
      </c>
      <c r="N12" s="13" t="n">
        <f aca="false">MIN(J12,K12)</f>
        <v>3819.29281347058</v>
      </c>
      <c r="O12" s="6" t="n">
        <f aca="false">2*((1.959964+0.841621)^2)*N12^2/Итог!$D$6^2</f>
        <v>228.983143962986</v>
      </c>
    </row>
    <row r="13" customFormat="false" ht="15" hidden="false" customHeight="false" outlineLevel="0" collapsed="false">
      <c r="A13" s="9" t="s">
        <v>23</v>
      </c>
      <c r="B13" s="9" t="n">
        <v>439</v>
      </c>
      <c r="C13" s="9" t="n">
        <v>355</v>
      </c>
      <c r="D13" s="9" t="n">
        <v>351</v>
      </c>
      <c r="E13" s="9" t="n">
        <v>706</v>
      </c>
      <c r="F13" s="10" t="n">
        <v>0.0155787987113288</v>
      </c>
      <c r="G13" s="11" t="n">
        <v>2481.96056338028</v>
      </c>
      <c r="H13" s="11" t="n">
        <v>2400.63532763533</v>
      </c>
      <c r="I13" s="11" t="n">
        <v>81.3252357449542</v>
      </c>
      <c r="J13" s="11" t="n">
        <v>4040.44100681025</v>
      </c>
      <c r="K13" s="11" t="n">
        <v>3722.11707243604</v>
      </c>
      <c r="L13" s="9" t="n">
        <v>0.27819655769039</v>
      </c>
      <c r="M13" s="12" t="n">
        <v>0.780943569512573</v>
      </c>
      <c r="N13" s="13" t="n">
        <f aca="false">MIN(J13,K13)</f>
        <v>3722.11707243604</v>
      </c>
      <c r="O13" s="6" t="n">
        <f aca="false">2*((1.959964+0.841621)^2)*N13^2/Итог!$D$6^2</f>
        <v>217.479166832387</v>
      </c>
    </row>
    <row r="14" customFormat="false" ht="15" hidden="false" customHeight="false" outlineLevel="0" collapsed="false">
      <c r="A14" s="9" t="s">
        <v>24</v>
      </c>
      <c r="B14" s="9" t="n">
        <v>112</v>
      </c>
      <c r="C14" s="9" t="n">
        <v>652</v>
      </c>
      <c r="D14" s="9" t="n">
        <v>683</v>
      </c>
      <c r="E14" s="9" t="n">
        <v>1335</v>
      </c>
      <c r="F14" s="10" t="n">
        <v>0.029458493313915</v>
      </c>
      <c r="G14" s="11" t="n">
        <v>2488.11503067485</v>
      </c>
      <c r="H14" s="11" t="n">
        <v>2218.63689604685</v>
      </c>
      <c r="I14" s="11" t="n">
        <v>269.478134627995</v>
      </c>
      <c r="J14" s="11" t="n">
        <v>2778.17918256994</v>
      </c>
      <c r="K14" s="11" t="n">
        <v>2780.79066003568</v>
      </c>
      <c r="L14" s="9" t="n">
        <v>1.7707506776246</v>
      </c>
      <c r="M14" s="12" t="n">
        <v>0.0768311418872775</v>
      </c>
      <c r="N14" s="13" t="n">
        <f aca="false">MIN(J14,K14)</f>
        <v>2778.17918256994</v>
      </c>
      <c r="O14" s="6" t="n">
        <f aca="false">2*((1.959964+0.841621)^2)*N14^2/Итог!$D$6^2</f>
        <v>121.159677343935</v>
      </c>
    </row>
    <row r="15" customFormat="false" ht="15" hidden="false" customHeight="false" outlineLevel="0" collapsed="false">
      <c r="A15" s="9" t="s">
        <v>24</v>
      </c>
      <c r="B15" s="9" t="n">
        <v>394</v>
      </c>
      <c r="C15" s="9" t="n">
        <v>104</v>
      </c>
      <c r="D15" s="9" t="n">
        <v>85</v>
      </c>
      <c r="E15" s="9" t="n">
        <v>189</v>
      </c>
      <c r="F15" s="10" t="n">
        <v>0.00417052826691381</v>
      </c>
      <c r="G15" s="11" t="n">
        <v>1229.64423076923</v>
      </c>
      <c r="H15" s="11" t="n">
        <v>973.623529411765</v>
      </c>
      <c r="I15" s="11" t="n">
        <v>256.020701357466</v>
      </c>
      <c r="J15" s="11" t="n">
        <v>2208.22783982717</v>
      </c>
      <c r="K15" s="11" t="n">
        <v>1940.85482502446</v>
      </c>
      <c r="L15" s="9" t="n">
        <v>0.847751181258751</v>
      </c>
      <c r="M15" s="12" t="n">
        <v>0.397666202464008</v>
      </c>
      <c r="N15" s="13" t="n">
        <f aca="false">MIN(J15,K15)</f>
        <v>1940.85482502446</v>
      </c>
      <c r="O15" s="6" t="n">
        <f aca="false">2*((1.959964+0.841621)^2)*N15^2/Итог!$D$6^2</f>
        <v>59.1321548898421</v>
      </c>
    </row>
    <row r="16" customFormat="false" ht="15" hidden="false" customHeight="false" outlineLevel="0" collapsed="false">
      <c r="A16" s="9" t="s">
        <v>24</v>
      </c>
      <c r="B16" s="9" t="n">
        <v>576</v>
      </c>
      <c r="C16" s="9" t="n">
        <v>630</v>
      </c>
      <c r="D16" s="9" t="n">
        <v>657</v>
      </c>
      <c r="E16" s="9" t="n">
        <v>1287</v>
      </c>
      <c r="F16" s="10" t="n">
        <v>0.0283993115318417</v>
      </c>
      <c r="G16" s="11" t="n">
        <v>1594.43650793651</v>
      </c>
      <c r="H16" s="11" t="n">
        <v>1342.12937595129</v>
      </c>
      <c r="I16" s="11" t="n">
        <v>252.307131985214</v>
      </c>
      <c r="J16" s="11" t="n">
        <v>2683.72721057775</v>
      </c>
      <c r="K16" s="11" t="n">
        <v>2415.82266387608</v>
      </c>
      <c r="L16" s="9" t="n">
        <v>1.77017447081677</v>
      </c>
      <c r="M16" s="12" t="n">
        <v>0.0769402509839943</v>
      </c>
      <c r="N16" s="13" t="n">
        <f aca="false">MIN(J16,K16)</f>
        <v>2415.82266387608</v>
      </c>
      <c r="O16" s="6" t="n">
        <f aca="false">2*((1.959964+0.841621)^2)*N16^2/Итог!$D$6^2</f>
        <v>91.6152360977847</v>
      </c>
    </row>
    <row r="17" customFormat="false" ht="15" hidden="false" customHeight="false" outlineLevel="0" collapsed="false">
      <c r="A17" s="9" t="s">
        <v>24</v>
      </c>
      <c r="B17" s="9" t="n">
        <v>309</v>
      </c>
      <c r="C17" s="9" t="n">
        <v>240</v>
      </c>
      <c r="D17" s="9" t="n">
        <v>238</v>
      </c>
      <c r="E17" s="9" t="n">
        <v>478</v>
      </c>
      <c r="F17" s="10" t="n">
        <v>0.0105476852464804</v>
      </c>
      <c r="G17" s="11" t="n">
        <v>2706.27916666667</v>
      </c>
      <c r="H17" s="11" t="n">
        <v>2392.89495798319</v>
      </c>
      <c r="I17" s="11" t="n">
        <v>313.384208683473</v>
      </c>
      <c r="J17" s="11" t="n">
        <v>2814.9398488604</v>
      </c>
      <c r="K17" s="11" t="n">
        <v>2761.93871581762</v>
      </c>
      <c r="L17" s="9" t="n">
        <v>1.22855251177627</v>
      </c>
      <c r="M17" s="12" t="n">
        <v>0.21984675866301</v>
      </c>
      <c r="N17" s="13" t="n">
        <f aca="false">MIN(J17,K17)</f>
        <v>2761.93871581762</v>
      </c>
      <c r="O17" s="6" t="n">
        <f aca="false">2*((1.959964+0.841621)^2)*N17^2/Итог!$D$6^2</f>
        <v>119.74728577528</v>
      </c>
    </row>
    <row r="18" customFormat="false" ht="15" hidden="false" customHeight="false" outlineLevel="0" collapsed="false">
      <c r="A18" s="9" t="s">
        <v>25</v>
      </c>
      <c r="B18" s="9" t="n">
        <v>6543</v>
      </c>
      <c r="C18" s="9" t="n">
        <v>662</v>
      </c>
      <c r="D18" s="9" t="n">
        <v>689</v>
      </c>
      <c r="E18" s="9" t="n">
        <v>1351</v>
      </c>
      <c r="F18" s="10" t="n">
        <v>0.0298115539079395</v>
      </c>
      <c r="G18" s="11" t="n">
        <v>1702.43957703928</v>
      </c>
      <c r="H18" s="11" t="n">
        <v>1528.32510885341</v>
      </c>
      <c r="I18" s="11" t="n">
        <v>174.114468185864</v>
      </c>
      <c r="J18" s="11" t="n">
        <v>2453.90171737833</v>
      </c>
      <c r="K18" s="11" t="n">
        <v>2338.52206332595</v>
      </c>
      <c r="L18" s="9" t="n">
        <v>1.33409269113925</v>
      </c>
      <c r="M18" s="12" t="n">
        <v>0.182400394859554</v>
      </c>
      <c r="N18" s="13" t="n">
        <f aca="false">MIN(J18,K18)</f>
        <v>2338.52206332595</v>
      </c>
      <c r="O18" s="6" t="n">
        <f aca="false">2*((1.959964+0.841621)^2)*N18^2/Итог!$D$6^2</f>
        <v>85.846095290663</v>
      </c>
    </row>
    <row r="19" customFormat="false" ht="15" hidden="false" customHeight="false" outlineLevel="0" collapsed="false">
      <c r="A19" s="9" t="s">
        <v>25</v>
      </c>
      <c r="B19" s="9" t="n">
        <v>3987</v>
      </c>
      <c r="C19" s="9" t="n">
        <v>801</v>
      </c>
      <c r="D19" s="9" t="n">
        <v>785</v>
      </c>
      <c r="E19" s="9" t="n">
        <v>1586</v>
      </c>
      <c r="F19" s="10" t="n">
        <v>0.0349971313826736</v>
      </c>
      <c r="G19" s="11" t="n">
        <v>1602.9950062422</v>
      </c>
      <c r="H19" s="11" t="n">
        <v>1639.85732484076</v>
      </c>
      <c r="I19" s="11" t="n">
        <v>-36.8623185985671</v>
      </c>
      <c r="J19" s="11" t="n">
        <v>2518.8292052013</v>
      </c>
      <c r="K19" s="11" t="n">
        <v>2686.31741660979</v>
      </c>
      <c r="L19" s="9" t="n">
        <v>-0.281782273980886</v>
      </c>
      <c r="M19" s="12" t="n">
        <v>0.778147534190303</v>
      </c>
      <c r="N19" s="13" t="n">
        <f aca="false">MIN(J19,K19)</f>
        <v>2518.8292052013</v>
      </c>
      <c r="O19" s="6" t="n">
        <f aca="false">2*((1.959964+0.841621)^2)*N19^2/Итог!$D$6^2</f>
        <v>99.5944283104638</v>
      </c>
    </row>
    <row r="20" customFormat="false" ht="15" hidden="false" customHeight="false" outlineLevel="0" collapsed="false">
      <c r="A20" s="9" t="s">
        <v>25</v>
      </c>
      <c r="B20" s="9" t="n">
        <v>8543</v>
      </c>
      <c r="C20" s="9" t="n">
        <v>148</v>
      </c>
      <c r="D20" s="9" t="n">
        <v>140</v>
      </c>
      <c r="E20" s="9" t="n">
        <v>288</v>
      </c>
      <c r="F20" s="10" t="n">
        <v>0.00635509069244009</v>
      </c>
      <c r="G20" s="11" t="n">
        <v>1859.77702702703</v>
      </c>
      <c r="H20" s="11" t="n">
        <v>1804.25</v>
      </c>
      <c r="I20" s="11" t="n">
        <v>55.5270270270271</v>
      </c>
      <c r="J20" s="11" t="n">
        <v>2568.98042938117</v>
      </c>
      <c r="K20" s="11" t="n">
        <v>3015.72663046773</v>
      </c>
      <c r="L20" s="9" t="n">
        <v>0.1677608966738</v>
      </c>
      <c r="M20" s="12" t="n">
        <v>0.866895376768965</v>
      </c>
      <c r="N20" s="13" t="n">
        <f aca="false">MIN(J20,K20)</f>
        <v>2568.98042938117</v>
      </c>
      <c r="O20" s="6" t="n">
        <f aca="false">2*((1.959964+0.841621)^2)*N20^2/Итог!$D$6^2</f>
        <v>103.599866133713</v>
      </c>
    </row>
    <row r="21" customFormat="false" ht="15" hidden="false" customHeight="false" outlineLevel="0" collapsed="false">
      <c r="A21" s="9" t="s">
        <v>25</v>
      </c>
      <c r="B21" s="9" t="n">
        <v>2212</v>
      </c>
      <c r="C21" s="9" t="n">
        <v>422</v>
      </c>
      <c r="D21" s="9" t="n">
        <v>397</v>
      </c>
      <c r="E21" s="9" t="n">
        <v>819</v>
      </c>
      <c r="F21" s="10" t="n">
        <v>0.0180722891566265</v>
      </c>
      <c r="G21" s="11" t="n">
        <v>2813.1682464455</v>
      </c>
      <c r="H21" s="11" t="n">
        <v>2739.36272040302</v>
      </c>
      <c r="I21" s="11" t="n">
        <v>73.8055260424749</v>
      </c>
      <c r="J21" s="11" t="n">
        <v>3196.88886064293</v>
      </c>
      <c r="K21" s="11" t="n">
        <v>2446.97503618195</v>
      </c>
      <c r="L21" s="9" t="n">
        <v>0.372296896189774</v>
      </c>
      <c r="M21" s="12" t="n">
        <v>0.709772295652374</v>
      </c>
      <c r="N21" s="13" t="n">
        <f aca="false">MIN(J21,K21)</f>
        <v>2446.97503618195</v>
      </c>
      <c r="O21" s="6" t="n">
        <f aca="false">2*((1.959964+0.841621)^2)*N21^2/Итог!$D$6^2</f>
        <v>93.9932529596972</v>
      </c>
    </row>
    <row r="22" customFormat="false" ht="15" hidden="false" customHeight="false" outlineLevel="0" collapsed="false">
      <c r="A22" s="9" t="s">
        <v>25</v>
      </c>
      <c r="B22" s="9" t="n">
        <v>9121</v>
      </c>
      <c r="C22" s="9" t="n">
        <v>131</v>
      </c>
      <c r="D22" s="9" t="n">
        <v>108</v>
      </c>
      <c r="E22" s="9" t="n">
        <v>239</v>
      </c>
      <c r="F22" s="10" t="n">
        <v>0.00527384262324021</v>
      </c>
      <c r="G22" s="11" t="n">
        <v>1976.85496183206</v>
      </c>
      <c r="H22" s="11" t="n">
        <v>1856.94444444444</v>
      </c>
      <c r="I22" s="11" t="n">
        <v>119.910517387617</v>
      </c>
      <c r="J22" s="11" t="n">
        <v>2605.79742740073</v>
      </c>
      <c r="K22" s="11" t="n">
        <v>2442.32616570524</v>
      </c>
      <c r="L22" s="9" t="n">
        <v>0.36646667467885</v>
      </c>
      <c r="M22" s="12" t="n">
        <v>0.714349290781906</v>
      </c>
      <c r="N22" s="13" t="n">
        <f aca="false">MIN(J22,K22)</f>
        <v>2442.32616570524</v>
      </c>
      <c r="O22" s="6" t="n">
        <f aca="false">2*((1.959964+0.841621)^2)*N22^2/Итог!$D$6^2</f>
        <v>93.6364472121776</v>
      </c>
    </row>
    <row r="23" customFormat="false" ht="15" hidden="false" customHeight="false" outlineLevel="0" collapsed="false">
      <c r="A23" s="9" t="s">
        <v>25</v>
      </c>
      <c r="B23" s="9" t="n">
        <v>3786</v>
      </c>
      <c r="C23" s="9" t="n">
        <v>237</v>
      </c>
      <c r="D23" s="9" t="n">
        <v>278</v>
      </c>
      <c r="E23" s="9" t="n">
        <v>515</v>
      </c>
      <c r="F23" s="10" t="n">
        <v>0.011364137870162</v>
      </c>
      <c r="G23" s="11" t="n">
        <v>2613.6835443038</v>
      </c>
      <c r="H23" s="11" t="n">
        <v>2688.23021582734</v>
      </c>
      <c r="I23" s="11" t="n">
        <v>-74.5466715235407</v>
      </c>
      <c r="J23" s="11" t="n">
        <v>2712.23585862684</v>
      </c>
      <c r="K23" s="11" t="n">
        <v>3292.93764104639</v>
      </c>
      <c r="L23" s="9" t="n">
        <v>-0.281671240063176</v>
      </c>
      <c r="M23" s="12" t="n">
        <v>0.778309324970551</v>
      </c>
      <c r="N23" s="13" t="n">
        <f aca="false">MIN(J23,K23)</f>
        <v>2712.23585862684</v>
      </c>
      <c r="O23" s="6" t="n">
        <f aca="false">2*((1.959964+0.841621)^2)*N23^2/Итог!$D$6^2</f>
        <v>115.476206810173</v>
      </c>
    </row>
    <row r="24" customFormat="false" ht="15" hidden="false" customHeight="false" outlineLevel="0" collapsed="false">
      <c r="A24" s="9" t="s">
        <v>34</v>
      </c>
      <c r="B24" s="9" t="n">
        <v>80</v>
      </c>
      <c r="C24" s="9" t="n">
        <v>844</v>
      </c>
      <c r="D24" s="9" t="n">
        <v>880</v>
      </c>
      <c r="E24" s="9" t="n">
        <v>1724</v>
      </c>
      <c r="F24" s="10" t="n">
        <v>0.0380422790061344</v>
      </c>
      <c r="G24" s="11" t="n">
        <v>2517.33056872038</v>
      </c>
      <c r="H24" s="11" t="n">
        <v>2511.97272727273</v>
      </c>
      <c r="I24" s="11" t="n">
        <v>5.35784144765194</v>
      </c>
      <c r="J24" s="11" t="n">
        <v>2797.12303323861</v>
      </c>
      <c r="K24" s="11" t="n">
        <v>2824.71993222356</v>
      </c>
      <c r="L24" s="9" t="n">
        <v>0.0395662016488775</v>
      </c>
      <c r="M24" s="12" t="n">
        <v>0.968443564670812</v>
      </c>
      <c r="N24" s="13" t="n">
        <f aca="false">MIN(J24,K24)</f>
        <v>2797.12303323861</v>
      </c>
      <c r="O24" s="6" t="n">
        <f aca="false">2*((1.959964+0.841621)^2)*N24^2/Итог!$D$6^2</f>
        <v>122.817638219994</v>
      </c>
    </row>
    <row r="25" customFormat="false" ht="15" hidden="false" customHeight="false" outlineLevel="0" collapsed="false">
      <c r="A25" s="9" t="s">
        <v>34</v>
      </c>
      <c r="B25" s="9" t="n">
        <v>82</v>
      </c>
      <c r="C25" s="9" t="n">
        <v>169</v>
      </c>
      <c r="D25" s="9" t="n">
        <v>229</v>
      </c>
      <c r="E25" s="9" t="n">
        <v>398</v>
      </c>
      <c r="F25" s="10" t="n">
        <v>0.00878238227635818</v>
      </c>
      <c r="G25" s="11" t="n">
        <v>2586.01183431953</v>
      </c>
      <c r="H25" s="11" t="n">
        <v>2655.67248908297</v>
      </c>
      <c r="I25" s="11" t="n">
        <v>-69.6606547634428</v>
      </c>
      <c r="J25" s="11" t="n">
        <v>2676.43556270045</v>
      </c>
      <c r="K25" s="11" t="n">
        <v>2929.36368639649</v>
      </c>
      <c r="L25" s="9" t="n">
        <v>-0.246505245397569</v>
      </c>
      <c r="M25" s="12" t="n">
        <v>0.805424805838202</v>
      </c>
      <c r="N25" s="13" t="n">
        <f aca="false">MIN(J25,K25)</f>
        <v>2676.43556270045</v>
      </c>
      <c r="O25" s="6" t="n">
        <f aca="false">2*((1.959964+0.841621)^2)*N25^2/Итог!$D$6^2</f>
        <v>112.447857821038</v>
      </c>
    </row>
    <row r="26" customFormat="false" ht="15" hidden="false" customHeight="false" outlineLevel="0" collapsed="false">
      <c r="A26" s="9" t="s">
        <v>35</v>
      </c>
      <c r="B26" s="9" t="n">
        <v>88</v>
      </c>
      <c r="C26" s="9" t="n">
        <v>190</v>
      </c>
      <c r="D26" s="9" t="n">
        <v>167</v>
      </c>
      <c r="E26" s="9" t="n">
        <v>357</v>
      </c>
      <c r="F26" s="10" t="n">
        <v>0.00787766450417053</v>
      </c>
      <c r="G26" s="11" t="n">
        <v>2902.41052631579</v>
      </c>
      <c r="H26" s="11" t="n">
        <v>2439.46107784431</v>
      </c>
      <c r="I26" s="11" t="n">
        <v>462.949448471478</v>
      </c>
      <c r="J26" s="11" t="n">
        <v>3074.64888689203</v>
      </c>
      <c r="K26" s="11" t="n">
        <v>2689.34305309138</v>
      </c>
      <c r="L26" s="9" t="n">
        <v>1.5175500938341</v>
      </c>
      <c r="M26" s="12" t="n">
        <v>0.130017862854221</v>
      </c>
      <c r="N26" s="13" t="n">
        <f aca="false">MIN(J26,K26)</f>
        <v>2689.34305309138</v>
      </c>
      <c r="O26" s="6" t="n">
        <f aca="false">2*((1.959964+0.841621)^2)*N26^2/Итог!$D$6^2</f>
        <v>113.535064629381</v>
      </c>
    </row>
    <row r="27" customFormat="false" ht="15" hidden="false" customHeight="false" outlineLevel="0" collapsed="false">
      <c r="A27" s="9" t="s">
        <v>36</v>
      </c>
      <c r="B27" s="9" t="n">
        <v>19</v>
      </c>
      <c r="C27" s="9" t="n">
        <v>130</v>
      </c>
      <c r="D27" s="9" t="n">
        <v>146</v>
      </c>
      <c r="E27" s="9" t="n">
        <v>276</v>
      </c>
      <c r="F27" s="10" t="n">
        <v>0.00609029524692175</v>
      </c>
      <c r="G27" s="11" t="n">
        <v>2043.82307692308</v>
      </c>
      <c r="H27" s="11" t="n">
        <v>1743.37671232877</v>
      </c>
      <c r="I27" s="11" t="n">
        <v>300.44636459431</v>
      </c>
      <c r="J27" s="11" t="n">
        <v>2442.26678753138</v>
      </c>
      <c r="K27" s="11" t="n">
        <v>2891.33335937594</v>
      </c>
      <c r="L27" s="9" t="n">
        <v>0.935516061444513</v>
      </c>
      <c r="M27" s="12" t="n">
        <v>0.350348399159479</v>
      </c>
      <c r="N27" s="13" t="n">
        <f aca="false">MIN(J27,K27)</f>
        <v>2442.26678753138</v>
      </c>
      <c r="O27" s="6" t="n">
        <f aca="false">2*((1.959964+0.841621)^2)*N27^2/Итог!$D$6^2</f>
        <v>93.6318942628349</v>
      </c>
    </row>
    <row r="28" customFormat="false" ht="15" hidden="false" customHeight="false" outlineLevel="0" collapsed="false">
      <c r="A28" s="9" t="s">
        <v>37</v>
      </c>
      <c r="B28" s="9" t="n">
        <v>72</v>
      </c>
      <c r="C28" s="9" t="n">
        <v>609</v>
      </c>
      <c r="D28" s="9" t="n">
        <v>639</v>
      </c>
      <c r="E28" s="9" t="n">
        <v>1248</v>
      </c>
      <c r="F28" s="10" t="n">
        <v>0.0275387263339071</v>
      </c>
      <c r="G28" s="11" t="n">
        <v>2371.43349753695</v>
      </c>
      <c r="H28" s="11" t="n">
        <v>2523.37558685446</v>
      </c>
      <c r="I28" s="11" t="n">
        <v>-151.942089317514</v>
      </c>
      <c r="J28" s="11" t="n">
        <v>2906.82445753134</v>
      </c>
      <c r="K28" s="11" t="n">
        <v>2795.91717553361</v>
      </c>
      <c r="L28" s="9" t="n">
        <v>-0.940353616459569</v>
      </c>
      <c r="M28" s="12" t="n">
        <v>0.347219845973329</v>
      </c>
      <c r="N28" s="13" t="n">
        <f aca="false">MIN(J28,K28)</f>
        <v>2795.91717553361</v>
      </c>
      <c r="O28" s="6" t="n">
        <f aca="false">2*((1.959964+0.841621)^2)*N28^2/Итог!$D$6^2</f>
        <v>122.711766100649</v>
      </c>
    </row>
    <row r="29" customFormat="false" ht="15" hidden="false" customHeight="false" outlineLevel="0" collapsed="false">
      <c r="A29" s="9" t="s">
        <v>37</v>
      </c>
      <c r="B29" s="9" t="n">
        <v>73</v>
      </c>
      <c r="C29" s="9" t="n">
        <v>187</v>
      </c>
      <c r="D29" s="9" t="n">
        <v>167</v>
      </c>
      <c r="E29" s="9" t="n">
        <v>354</v>
      </c>
      <c r="F29" s="10" t="n">
        <v>0.00781146564279094</v>
      </c>
      <c r="G29" s="11" t="n">
        <v>2092.18181818182</v>
      </c>
      <c r="H29" s="11" t="n">
        <v>2521.95808383234</v>
      </c>
      <c r="I29" s="11" t="n">
        <v>-429.776265650517</v>
      </c>
      <c r="J29" s="11" t="n">
        <v>2530.274648081</v>
      </c>
      <c r="K29" s="11" t="n">
        <v>2875.45963293559</v>
      </c>
      <c r="L29" s="9" t="n">
        <v>-1.4851033592836</v>
      </c>
      <c r="M29" s="12" t="n">
        <v>0.138462766912588</v>
      </c>
      <c r="N29" s="13" t="n">
        <f aca="false">MIN(J29,K29)</f>
        <v>2530.274648081</v>
      </c>
      <c r="O29" s="6" t="n">
        <f aca="false">2*((1.959964+0.841621)^2)*N29^2/Итог!$D$6^2</f>
        <v>100.501589597653</v>
      </c>
    </row>
    <row r="30" customFormat="false" ht="15" hidden="false" customHeight="false" outlineLevel="0" collapsed="false">
      <c r="A30" s="9" t="s">
        <v>29</v>
      </c>
      <c r="B30" s="9" t="n">
        <v>1989</v>
      </c>
      <c r="C30" s="9" t="n">
        <v>239</v>
      </c>
      <c r="D30" s="9" t="n">
        <v>270</v>
      </c>
      <c r="E30" s="9" t="n">
        <v>509</v>
      </c>
      <c r="F30" s="10" t="n">
        <v>0.0112317401474028</v>
      </c>
      <c r="G30" s="11" t="n">
        <v>4407.38493723849</v>
      </c>
      <c r="H30" s="11" t="n">
        <v>4163.95925925926</v>
      </c>
      <c r="I30" s="11" t="n">
        <v>243.425677979235</v>
      </c>
      <c r="J30" s="11" t="n">
        <v>2737.90072511998</v>
      </c>
      <c r="K30" s="11" t="n">
        <v>2492.09629331152</v>
      </c>
      <c r="L30" s="9" t="n">
        <v>1.04400095334246</v>
      </c>
      <c r="M30" s="12" t="n">
        <v>0.297005530346013</v>
      </c>
      <c r="N30" s="13" t="n">
        <f aca="false">MIN(J30,K30)</f>
        <v>2492.09629331152</v>
      </c>
      <c r="O30" s="6" t="n">
        <f aca="false">2*((1.959964+0.841621)^2)*N30^2/Итог!$D$6^2</f>
        <v>97.4916096834522</v>
      </c>
    </row>
    <row r="31" customFormat="false" ht="15" hidden="false" customHeight="false" outlineLevel="0" collapsed="false">
      <c r="A31" s="9" t="s">
        <v>38</v>
      </c>
      <c r="B31" s="9" t="n">
        <v>69</v>
      </c>
      <c r="C31" s="9" t="n">
        <v>75</v>
      </c>
      <c r="D31" s="9" t="n">
        <v>78</v>
      </c>
      <c r="E31" s="9" t="n">
        <v>153</v>
      </c>
      <c r="F31" s="10" t="n">
        <v>0.0033761419303588</v>
      </c>
      <c r="G31" s="11" t="n">
        <v>1171.45333333333</v>
      </c>
      <c r="H31" s="11" t="n">
        <v>600.153846153846</v>
      </c>
      <c r="I31" s="11" t="n">
        <v>571.299487179487</v>
      </c>
      <c r="J31" s="11" t="n">
        <v>2578.10410276325</v>
      </c>
      <c r="K31" s="11" t="n">
        <v>1690.13975505234</v>
      </c>
      <c r="L31" s="9" t="n">
        <v>1.61430202601927</v>
      </c>
      <c r="M31" s="12" t="n">
        <v>0.108944569104918</v>
      </c>
      <c r="N31" s="13" t="n">
        <f aca="false">MIN(J31,K31)</f>
        <v>1690.13975505234</v>
      </c>
      <c r="O31" s="6" t="n">
        <f aca="false">2*((1.959964+0.841621)^2)*N31^2/Итог!$D$6^2</f>
        <v>44.8417793262206</v>
      </c>
    </row>
    <row r="32" customFormat="false" ht="15" hidden="false" customHeight="false" outlineLevel="0" collapsed="false">
      <c r="A32" s="9" t="s">
        <v>39</v>
      </c>
      <c r="B32" s="9" t="n">
        <v>2</v>
      </c>
      <c r="C32" s="9" t="n">
        <v>78</v>
      </c>
      <c r="D32" s="9" t="n">
        <v>71</v>
      </c>
      <c r="E32" s="9" t="n">
        <v>149</v>
      </c>
      <c r="F32" s="10" t="n">
        <v>0.00328787678185269</v>
      </c>
      <c r="G32" s="11" t="n">
        <v>579.333333333333</v>
      </c>
      <c r="H32" s="11" t="n">
        <v>483.450704225352</v>
      </c>
      <c r="I32" s="11" t="n">
        <v>95.8826291079812</v>
      </c>
      <c r="J32" s="11" t="n">
        <v>1860.76243043297</v>
      </c>
      <c r="K32" s="11" t="n">
        <v>1654.92318154678</v>
      </c>
      <c r="L32" s="9" t="n">
        <v>0.332884758544466</v>
      </c>
      <c r="M32" s="12" t="n">
        <v>0.739695788303565</v>
      </c>
      <c r="N32" s="13" t="n">
        <f aca="false">MIN(J32,K32)</f>
        <v>1654.92318154678</v>
      </c>
      <c r="O32" s="6" t="n">
        <f aca="false">2*((1.959964+0.841621)^2)*N32^2/Итог!$D$6^2</f>
        <v>42.9925575722888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2026-07-27T10:26:49Z</dcterms:created>
  <dc:creator>openpyxl</dc:creator>
  <dc:description/>
  <dc:language>en-US</dc:language>
  <cp:lastModifiedBy/>
  <dcterms:modified xsi:type="dcterms:W3CDTF">2026-07-27T10:26:49Z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